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stimation Detail" sheetId="1" state="visible" r:id="rId1"/>
    <sheet name="Proje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28090"/>
      <sz val="10"/>
    </font>
    <font>
      <name val="Arial"/>
      <color rgb="001A1A2E"/>
      <sz val="10"/>
    </font>
    <font>
      <name val="Arial"/>
      <b val="1"/>
      <color rgb="005C6BC0"/>
      <sz val="10"/>
    </font>
    <font>
      <name val="Arial"/>
      <b val="1"/>
      <color rgb="001A237E"/>
      <sz val="10"/>
    </font>
    <font>
      <name val="Arial"/>
      <b val="1"/>
      <color rgb="00880E4F"/>
      <sz val="10"/>
    </font>
    <font>
      <name val="Arial"/>
      <b val="1"/>
      <color rgb="00E65100"/>
      <sz val="10"/>
    </font>
    <font>
      <name val="Arial"/>
      <i val="1"/>
      <color rgb="00455A64"/>
      <sz val="9"/>
    </font>
    <font>
      <name val="Arial"/>
      <b val="1"/>
      <color rgb="001B5E20"/>
      <sz val="10"/>
    </font>
    <font>
      <name val="Arial"/>
      <b val="1"/>
      <color rgb="00C62828"/>
      <sz val="10"/>
    </font>
    <font>
      <name val="Arial"/>
      <b val="1"/>
      <color rgb="000D1B3E"/>
      <sz val="12"/>
    </font>
    <font>
      <name val="Arial"/>
      <b val="1"/>
      <color rgb="001A1A2E"/>
      <sz val="10"/>
    </font>
    <font>
      <name val="Arial"/>
      <b val="1"/>
      <color rgb="000D1B3E"/>
      <sz val="10"/>
    </font>
  </fonts>
  <fills count="12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028090"/>
      </patternFill>
    </fill>
    <fill>
      <patternFill patternType="solid">
        <fgColor rgb="00FFFFFF"/>
      </patternFill>
    </fill>
    <fill>
      <patternFill patternType="solid">
        <fgColor rgb="00E0F7FA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2F6F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9C4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28090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164" fontId="15" fillId="11" borderId="2" applyAlignment="1" pivotButton="0" quotePrefix="0" xfId="0">
      <alignment horizontal="center" vertical="center" wrapText="1"/>
    </xf>
    <xf numFmtId="0" fontId="0" fillId="11" borderId="2" pivotButton="0" quotePrefix="0" xfId="0"/>
    <xf numFmtId="0" fontId="3" fillId="11" borderId="2" pivotButton="0" quotePrefix="0" xfId="0"/>
    <xf numFmtId="0" fontId="16" fillId="8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17" fillId="4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0" fillId="9" borderId="1" pivotButton="0" quotePrefix="0" xfId="0"/>
    <xf numFmtId="0" fontId="7" fillId="9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7" fillId="7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7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28" customWidth="1" min="11" max="11"/>
  </cols>
  <sheetData>
    <row r="1" ht="36" customHeight="1">
      <c r="A1" s="1" t="inlineStr">
        <is>
          <t>API Development Time Estimation  ·  Scope of Work</t>
        </is>
      </c>
    </row>
    <row r="2" ht="22" customHeight="1">
      <c r="A2" s="2" t="inlineStr">
        <is>
          <t>Stack: Python · FastAPI · Microsoft Graph API · Unifonic SMS · JWT · OAuth 2.0 / OIDC</t>
        </is>
      </c>
    </row>
    <row r="3" ht="18" customHeight="1">
      <c r="A3" s="3" t="inlineStr">
        <is>
          <t>PERT Estimate = (Best + 4 × Likely + Worst) / 6     |     Days = PERT Hours ÷ 8</t>
        </is>
      </c>
    </row>
    <row r="4" ht="30" customHeight="1">
      <c r="A4" s="4" t="inlineStr">
        <is>
          <t>#</t>
        </is>
      </c>
      <c r="B4" s="4" t="inlineStr">
        <is>
          <t>Module</t>
        </is>
      </c>
      <c r="C4" s="4" t="inlineStr">
        <is>
          <t>API / Task</t>
        </is>
      </c>
      <c r="D4" s="4" t="inlineStr">
        <is>
          <t>HTTP Method</t>
        </is>
      </c>
      <c r="E4" s="4" t="inlineStr">
        <is>
          <t>Best
(hrs)</t>
        </is>
      </c>
      <c r="F4" s="4" t="inlineStr">
        <is>
          <t>Likely
(hrs)</t>
        </is>
      </c>
      <c r="G4" s="4" t="inlineStr">
        <is>
          <t>Worst
(hrs)</t>
        </is>
      </c>
      <c r="H4" s="4" t="inlineStr">
        <is>
          <t>PERT Est
(hrs)</t>
        </is>
      </c>
      <c r="I4" s="4" t="inlineStr">
        <is>
          <t>Days
(8h)</t>
        </is>
      </c>
      <c r="J4" s="4" t="inlineStr">
        <is>
          <t>Complexity</t>
        </is>
      </c>
      <c r="K4" s="4" t="inlineStr">
        <is>
          <t>Notes / Dependencies</t>
        </is>
      </c>
    </row>
    <row r="5" ht="22" customHeight="1">
      <c r="A5" s="5" t="inlineStr">
        <is>
          <t>1. USER REGISTRATION APIs</t>
        </is>
      </c>
    </row>
    <row r="6" ht="22" customHeight="1">
      <c r="A6" s="6" t="n">
        <v>1</v>
      </c>
      <c r="B6" s="7" t="inlineStr">
        <is>
          <t>User Registration</t>
        </is>
      </c>
      <c r="C6" s="7" t="inlineStr">
        <is>
          <t>Register via Email</t>
        </is>
      </c>
      <c r="D6" s="8" t="inlineStr">
        <is>
          <t>POST</t>
        </is>
      </c>
      <c r="E6" s="9" t="n">
        <v>2</v>
      </c>
      <c r="F6" s="9" t="n">
        <v>4</v>
      </c>
      <c r="G6" s="9" t="n">
        <v>6</v>
      </c>
      <c r="H6" s="10">
        <f>(E6+4*F6+G6)/6</f>
        <v/>
      </c>
      <c r="I6" s="11">
        <f>H6/8</f>
        <v/>
      </c>
      <c r="J6" s="12" t="inlineStr">
        <is>
          <t>Medium</t>
        </is>
      </c>
      <c r="K6" s="13" t="inlineStr">
        <is>
          <t>Validate email format, check duplicate, hash password, generate verification token</t>
        </is>
      </c>
    </row>
    <row r="7" ht="22" customHeight="1">
      <c r="A7" s="14" t="n">
        <v>2</v>
      </c>
      <c r="B7" s="15" t="inlineStr">
        <is>
          <t>User Registration</t>
        </is>
      </c>
      <c r="C7" s="15" t="inlineStr">
        <is>
          <t>Register via Mobile Number</t>
        </is>
      </c>
      <c r="D7" s="16" t="inlineStr">
        <is>
          <t>POST</t>
        </is>
      </c>
      <c r="E7" s="17" t="n">
        <v>2</v>
      </c>
      <c r="F7" s="17" t="n">
        <v>4</v>
      </c>
      <c r="G7" s="17" t="n">
        <v>6</v>
      </c>
      <c r="H7" s="10">
        <f>(E7+4*F7+G7)/6</f>
        <v/>
      </c>
      <c r="I7" s="11">
        <f>H7/8</f>
        <v/>
      </c>
      <c r="J7" s="12" t="inlineStr">
        <is>
          <t>Medium</t>
        </is>
      </c>
      <c r="K7" s="18" t="inlineStr">
        <is>
          <t>E.164 format validation, duplicate check, trigger OTP via Unifonic</t>
        </is>
      </c>
    </row>
    <row r="8" ht="22" customHeight="1">
      <c r="A8" s="6" t="n">
        <v>3</v>
      </c>
      <c r="B8" s="7" t="inlineStr">
        <is>
          <t>User Registration</t>
        </is>
      </c>
      <c r="C8" s="7" t="inlineStr">
        <is>
          <t>Verify OTP – Registration</t>
        </is>
      </c>
      <c r="D8" s="8" t="inlineStr">
        <is>
          <t>POST</t>
        </is>
      </c>
      <c r="E8" s="9" t="n">
        <v>1</v>
      </c>
      <c r="F8" s="9" t="n">
        <v>2</v>
      </c>
      <c r="G8" s="9" t="n">
        <v>4</v>
      </c>
      <c r="H8" s="10">
        <f>(E8+4*F8+G8)/6</f>
        <v/>
      </c>
      <c r="I8" s="11">
        <f>H8/8</f>
        <v/>
      </c>
      <c r="J8" s="19" t="inlineStr">
        <is>
          <t>Low</t>
        </is>
      </c>
      <c r="K8" s="13" t="inlineStr">
        <is>
          <t>Validate OTP code, expiry check, mark account active</t>
        </is>
      </c>
    </row>
    <row r="9" ht="22" customHeight="1">
      <c r="A9" s="14" t="n">
        <v>4</v>
      </c>
      <c r="B9" s="15" t="inlineStr">
        <is>
          <t>User Registration</t>
        </is>
      </c>
      <c r="C9" s="15" t="inlineStr">
        <is>
          <t>Resend OTP</t>
        </is>
      </c>
      <c r="D9" s="16" t="inlineStr">
        <is>
          <t>POST</t>
        </is>
      </c>
      <c r="E9" s="17" t="n">
        <v>1</v>
      </c>
      <c r="F9" s="17" t="n">
        <v>2</v>
      </c>
      <c r="G9" s="17" t="n">
        <v>3</v>
      </c>
      <c r="H9" s="10">
        <f>(E9+4*F9+G9)/6</f>
        <v/>
      </c>
      <c r="I9" s="11">
        <f>H9/8</f>
        <v/>
      </c>
      <c r="J9" s="19" t="inlineStr">
        <is>
          <t>Low</t>
        </is>
      </c>
      <c r="K9" s="18" t="inlineStr">
        <is>
          <t>Rate-limit resend attempts, regenerate token, re-trigger Unifonic</t>
        </is>
      </c>
    </row>
    <row r="10" ht="22" customHeight="1">
      <c r="A10" s="5" t="inlineStr">
        <is>
          <t>2. UNIFONIC SMS INTEGRATION</t>
        </is>
      </c>
    </row>
    <row r="11" ht="22" customHeight="1">
      <c r="A11" s="14" t="n">
        <v>5</v>
      </c>
      <c r="B11" s="15" t="inlineStr">
        <is>
          <t>Unifonic SMS</t>
        </is>
      </c>
      <c r="C11" s="15" t="inlineStr">
        <is>
          <t>Send OTP – Registration</t>
        </is>
      </c>
      <c r="D11" s="16" t="inlineStr">
        <is>
          <t>POST</t>
        </is>
      </c>
      <c r="E11" s="17" t="n">
        <v>2</v>
      </c>
      <c r="F11" s="17" t="n">
        <v>3</v>
      </c>
      <c r="G11" s="17" t="n">
        <v>5</v>
      </c>
      <c r="H11" s="10">
        <f>(E11+4*F11+G11)/6</f>
        <v/>
      </c>
      <c r="I11" s="11">
        <f>H11/8</f>
        <v/>
      </c>
      <c r="J11" s="12" t="inlineStr">
        <is>
          <t>Medium</t>
        </is>
      </c>
      <c r="K11" s="18" t="inlineStr">
        <is>
          <t>Unifonic REST API wrapper; template management, retry on failure</t>
        </is>
      </c>
    </row>
    <row r="12" ht="22" customHeight="1">
      <c r="A12" s="6" t="n">
        <v>6</v>
      </c>
      <c r="B12" s="7" t="inlineStr">
        <is>
          <t>Unifonic SMS</t>
        </is>
      </c>
      <c r="C12" s="7" t="inlineStr">
        <is>
          <t>Send OTP – Login</t>
        </is>
      </c>
      <c r="D12" s="8" t="inlineStr">
        <is>
          <t>POST</t>
        </is>
      </c>
      <c r="E12" s="9" t="n">
        <v>1</v>
      </c>
      <c r="F12" s="9" t="n">
        <v>2</v>
      </c>
      <c r="G12" s="9" t="n">
        <v>3</v>
      </c>
      <c r="H12" s="10">
        <f>(E12+4*F12+G12)/6</f>
        <v/>
      </c>
      <c r="I12" s="11">
        <f>H12/8</f>
        <v/>
      </c>
      <c r="J12" s="19" t="inlineStr">
        <is>
          <t>Low</t>
        </is>
      </c>
      <c r="K12" s="13" t="inlineStr">
        <is>
          <t>Reuse Unifonic service; login-specific template</t>
        </is>
      </c>
    </row>
    <row r="13" ht="22" customHeight="1">
      <c r="A13" s="14" t="n">
        <v>7</v>
      </c>
      <c r="B13" s="15" t="inlineStr">
        <is>
          <t>Unifonic SMS</t>
        </is>
      </c>
      <c r="C13" s="15" t="inlineStr">
        <is>
          <t>Send OTP – Password Reset</t>
        </is>
      </c>
      <c r="D13" s="16" t="inlineStr">
        <is>
          <t>POST</t>
        </is>
      </c>
      <c r="E13" s="17" t="n">
        <v>1</v>
      </c>
      <c r="F13" s="17" t="n">
        <v>2</v>
      </c>
      <c r="G13" s="17" t="n">
        <v>3</v>
      </c>
      <c r="H13" s="10">
        <f>(E13+4*F13+G13)/6</f>
        <v/>
      </c>
      <c r="I13" s="11">
        <f>H13/8</f>
        <v/>
      </c>
      <c r="J13" s="19" t="inlineStr">
        <is>
          <t>Low</t>
        </is>
      </c>
      <c r="K13" s="18" t="inlineStr">
        <is>
          <t>Password reset template; link expiry in message body</t>
        </is>
      </c>
    </row>
    <row r="14" ht="22" customHeight="1">
      <c r="A14" s="6" t="n">
        <v>8</v>
      </c>
      <c r="B14" s="7" t="inlineStr">
        <is>
          <t>Unifonic SMS</t>
        </is>
      </c>
      <c r="C14" s="7" t="inlineStr">
        <is>
          <t>OTP Validation &amp; Expiry Mgmt</t>
        </is>
      </c>
      <c r="D14" s="8" t="inlineStr">
        <is>
          <t>–</t>
        </is>
      </c>
      <c r="E14" s="9" t="n">
        <v>2</v>
      </c>
      <c r="F14" s="9" t="n">
        <v>4</v>
      </c>
      <c r="G14" s="9" t="n">
        <v>6</v>
      </c>
      <c r="H14" s="10">
        <f>(E14+4*F14+G14)/6</f>
        <v/>
      </c>
      <c r="I14" s="11">
        <f>H14/8</f>
        <v/>
      </c>
      <c r="J14" s="12" t="inlineStr">
        <is>
          <t>Medium</t>
        </is>
      </c>
      <c r="K14" s="13" t="inlineStr">
        <is>
          <t>Time-based OTP validity (5 min), single-use enforcement, Redis/DB store</t>
        </is>
      </c>
    </row>
    <row r="15" ht="22" customHeight="1">
      <c r="A15" s="5" t="inlineStr">
        <is>
          <t>3. MICROSOFT GRAPH API INTEGRATION</t>
        </is>
      </c>
    </row>
    <row r="16" ht="22" customHeight="1">
      <c r="A16" s="6" t="n">
        <v>9</v>
      </c>
      <c r="B16" s="7" t="inlineStr">
        <is>
          <t>MS Graph API</t>
        </is>
      </c>
      <c r="C16" s="7" t="inlineStr">
        <is>
          <t>Create User in Entra External ID</t>
        </is>
      </c>
      <c r="D16" s="8" t="inlineStr">
        <is>
          <t>POST</t>
        </is>
      </c>
      <c r="E16" s="9" t="n">
        <v>3</v>
      </c>
      <c r="F16" s="9" t="n">
        <v>5</v>
      </c>
      <c r="G16" s="9" t="n">
        <v>8</v>
      </c>
      <c r="H16" s="10">
        <f>(E16+4*F16+G16)/6</f>
        <v/>
      </c>
      <c r="I16" s="11">
        <f>H16/8</f>
        <v/>
      </c>
      <c r="J16" s="20" t="inlineStr">
        <is>
          <t>High</t>
        </is>
      </c>
      <c r="K16" s="13" t="inlineStr">
        <is>
          <t>Graph API auth (client credentials), map registration payload to Entra schema</t>
        </is>
      </c>
    </row>
    <row r="17" ht="22" customHeight="1">
      <c r="A17" s="14" t="n">
        <v>10</v>
      </c>
      <c r="B17" s="15" t="inlineStr">
        <is>
          <t>MS Graph API</t>
        </is>
      </c>
      <c r="C17" s="15" t="inlineStr">
        <is>
          <t>Update User Profile in Entra</t>
        </is>
      </c>
      <c r="D17" s="16" t="inlineStr">
        <is>
          <t>PATCH</t>
        </is>
      </c>
      <c r="E17" s="17" t="n">
        <v>2</v>
      </c>
      <c r="F17" s="17" t="n">
        <v>4</v>
      </c>
      <c r="G17" s="17" t="n">
        <v>6</v>
      </c>
      <c r="H17" s="10">
        <f>(E17+4*F17+G17)/6</f>
        <v/>
      </c>
      <c r="I17" s="11">
        <f>H17/8</f>
        <v/>
      </c>
      <c r="J17" s="12" t="inlineStr">
        <is>
          <t>Medium</t>
        </is>
      </c>
      <c r="K17" s="18" t="inlineStr">
        <is>
          <t>Delta update only changed attributes; handle Entra rate limits</t>
        </is>
      </c>
    </row>
    <row r="18" ht="22" customHeight="1">
      <c r="A18" s="6" t="n">
        <v>11</v>
      </c>
      <c r="B18" s="7" t="inlineStr">
        <is>
          <t>MS Graph API</t>
        </is>
      </c>
      <c r="C18" s="7" t="inlineStr">
        <is>
          <t>Retrieve User Information</t>
        </is>
      </c>
      <c r="D18" s="8" t="inlineStr">
        <is>
          <t>GET</t>
        </is>
      </c>
      <c r="E18" s="9" t="n">
        <v>1</v>
      </c>
      <c r="F18" s="9" t="n">
        <v>3</v>
      </c>
      <c r="G18" s="9" t="n">
        <v>5</v>
      </c>
      <c r="H18" s="10">
        <f>(E18+4*F18+G18)/6</f>
        <v/>
      </c>
      <c r="I18" s="11">
        <f>H18/8</f>
        <v/>
      </c>
      <c r="J18" s="12" t="inlineStr">
        <is>
          <t>Medium</t>
        </is>
      </c>
      <c r="K18" s="13" t="inlineStr">
        <is>
          <t>Fetch by objectId or email; map Entra attributes to local model</t>
        </is>
      </c>
    </row>
    <row r="19" ht="22" customHeight="1">
      <c r="A19" s="14" t="n">
        <v>12</v>
      </c>
      <c r="B19" s="15" t="inlineStr">
        <is>
          <t>MS Graph API</t>
        </is>
      </c>
      <c r="C19" s="15" t="inlineStr">
        <is>
          <t>Manage Custom User Attributes</t>
        </is>
      </c>
      <c r="D19" s="16" t="inlineStr">
        <is>
          <t>PATCH</t>
        </is>
      </c>
      <c r="E19" s="17" t="n">
        <v>3</v>
      </c>
      <c r="F19" s="17" t="n">
        <v>5</v>
      </c>
      <c r="G19" s="17" t="n">
        <v>8</v>
      </c>
      <c r="H19" s="10">
        <f>(E19+4*F19+G19)/6</f>
        <v/>
      </c>
      <c r="I19" s="11">
        <f>H19/8</f>
        <v/>
      </c>
      <c r="J19" s="20" t="inlineStr">
        <is>
          <t>High</t>
        </is>
      </c>
      <c r="K19" s="18" t="inlineStr">
        <is>
          <t>Define extension attributes in Entra; read/write via Graph extensions endpoint</t>
        </is>
      </c>
    </row>
    <row r="20" ht="22" customHeight="1">
      <c r="A20" s="6" t="n">
        <v>13</v>
      </c>
      <c r="B20" s="7" t="inlineStr">
        <is>
          <t>MS Graph API</t>
        </is>
      </c>
      <c r="C20" s="7" t="inlineStr">
        <is>
          <t>Graph API Auth Module (service)</t>
        </is>
      </c>
      <c r="D20" s="8" t="inlineStr">
        <is>
          <t>–</t>
        </is>
      </c>
      <c r="E20" s="9" t="n">
        <v>3</v>
      </c>
      <c r="F20" s="9" t="n">
        <v>5</v>
      </c>
      <c r="G20" s="9" t="n">
        <v>7</v>
      </c>
      <c r="H20" s="10">
        <f>(E20+4*F20+G20)/6</f>
        <v/>
      </c>
      <c r="I20" s="11">
        <f>H20/8</f>
        <v/>
      </c>
      <c r="J20" s="20" t="inlineStr">
        <is>
          <t>High</t>
        </is>
      </c>
      <c r="K20" s="13" t="inlineStr">
        <is>
          <t>OAuth 2.0 client_credentials flow; token cache; refresh logic; unit tests</t>
        </is>
      </c>
    </row>
    <row r="21" ht="22" customHeight="1">
      <c r="A21" s="5" t="inlineStr">
        <is>
          <t>4. PROFILE MANAGEMENT APIs</t>
        </is>
      </c>
    </row>
    <row r="22" ht="22" customHeight="1">
      <c r="A22" s="6" t="n">
        <v>14</v>
      </c>
      <c r="B22" s="7" t="inlineStr">
        <is>
          <t>Profile Mgmt</t>
        </is>
      </c>
      <c r="C22" s="7" t="inlineStr">
        <is>
          <t>View Profile</t>
        </is>
      </c>
      <c r="D22" s="8" t="inlineStr">
        <is>
          <t>GET</t>
        </is>
      </c>
      <c r="E22" s="9" t="n">
        <v>1</v>
      </c>
      <c r="F22" s="9" t="n">
        <v>2</v>
      </c>
      <c r="G22" s="9" t="n">
        <v>3</v>
      </c>
      <c r="H22" s="10">
        <f>(E22+4*F22+G22)/6</f>
        <v/>
      </c>
      <c r="I22" s="11">
        <f>H22/8</f>
        <v/>
      </c>
      <c r="J22" s="19" t="inlineStr">
        <is>
          <t>Low</t>
        </is>
      </c>
      <c r="K22" s="13" t="inlineStr">
        <is>
          <t>Return profile from local DB + Entra merge; mask sensitive fields</t>
        </is>
      </c>
    </row>
    <row r="23" ht="22" customHeight="1">
      <c r="A23" s="14" t="n">
        <v>15</v>
      </c>
      <c r="B23" s="15" t="inlineStr">
        <is>
          <t>Profile Mgmt</t>
        </is>
      </c>
      <c r="C23" s="15" t="inlineStr">
        <is>
          <t>Update Profile</t>
        </is>
      </c>
      <c r="D23" s="16" t="inlineStr">
        <is>
          <t>PATCH</t>
        </is>
      </c>
      <c r="E23" s="17" t="n">
        <v>2</v>
      </c>
      <c r="F23" s="17" t="n">
        <v>4</v>
      </c>
      <c r="G23" s="17" t="n">
        <v>6</v>
      </c>
      <c r="H23" s="10">
        <f>(E23+4*F23+G23)/6</f>
        <v/>
      </c>
      <c r="I23" s="11">
        <f>H23/8</f>
        <v/>
      </c>
      <c r="J23" s="12" t="inlineStr">
        <is>
          <t>Medium</t>
        </is>
      </c>
      <c r="K23" s="18" t="inlineStr">
        <is>
          <t>Validate fields (DOB, mobile format, country code), sync to Entra via Graph</t>
        </is>
      </c>
    </row>
    <row r="24" ht="22" customHeight="1">
      <c r="A24" s="5" t="inlineStr">
        <is>
          <t>5. USER MIGRATION</t>
        </is>
      </c>
    </row>
    <row r="25" ht="22" customHeight="1">
      <c r="A25" s="14" t="n">
        <v>16</v>
      </c>
      <c r="B25" s="15" t="inlineStr">
        <is>
          <t>User Migration</t>
        </is>
      </c>
      <c r="C25" s="15" t="inlineStr">
        <is>
          <t>CSV Ingestion &amp; Validation Script</t>
        </is>
      </c>
      <c r="D25" s="16" t="inlineStr">
        <is>
          <t>–</t>
        </is>
      </c>
      <c r="E25" s="17" t="n">
        <v>3</v>
      </c>
      <c r="F25" s="17" t="n">
        <v>5</v>
      </c>
      <c r="G25" s="17" t="n">
        <v>8</v>
      </c>
      <c r="H25" s="10">
        <f>(E25+4*F25+G25)/6</f>
        <v/>
      </c>
      <c r="I25" s="11">
        <f>H25/8</f>
        <v/>
      </c>
      <c r="J25" s="20" t="inlineStr">
        <is>
          <t>High</t>
        </is>
      </c>
      <c r="K25" s="18" t="inlineStr">
        <is>
          <t>pandas-based reader; schema validation; duplicate detection; error report CSV</t>
        </is>
      </c>
    </row>
    <row r="26" ht="22" customHeight="1">
      <c r="A26" s="6" t="n">
        <v>17</v>
      </c>
      <c r="B26" s="7" t="inlineStr">
        <is>
          <t>User Migration</t>
        </is>
      </c>
      <c r="C26" s="7" t="inlineStr">
        <is>
          <t>Data Transformation Layer</t>
        </is>
      </c>
      <c r="D26" s="8" t="inlineStr">
        <is>
          <t>–</t>
        </is>
      </c>
      <c r="E26" s="9" t="n">
        <v>2</v>
      </c>
      <c r="F26" s="9" t="n">
        <v>4</v>
      </c>
      <c r="G26" s="9" t="n">
        <v>6</v>
      </c>
      <c r="H26" s="10">
        <f>(E26+4*F26+G26)/6</f>
        <v/>
      </c>
      <c r="I26" s="11">
        <f>H26/8</f>
        <v/>
      </c>
      <c r="J26" s="12" t="inlineStr">
        <is>
          <t>Medium</t>
        </is>
      </c>
      <c r="K26" s="13" t="inlineStr">
        <is>
          <t>Map CSV columns to Entra schema; handle nulls, encoding, phone normalisation</t>
        </is>
      </c>
    </row>
    <row r="27" ht="22" customHeight="1">
      <c r="A27" s="14" t="n">
        <v>18</v>
      </c>
      <c r="B27" s="15" t="inlineStr">
        <is>
          <t>User Migration</t>
        </is>
      </c>
      <c r="C27" s="15" t="inlineStr">
        <is>
          <t>Bulk User Creation via Graph API</t>
        </is>
      </c>
      <c r="D27" s="16" t="inlineStr">
        <is>
          <t>POST</t>
        </is>
      </c>
      <c r="E27" s="17" t="n">
        <v>4</v>
      </c>
      <c r="F27" s="17" t="n">
        <v>6</v>
      </c>
      <c r="G27" s="17" t="n">
        <v>10</v>
      </c>
      <c r="H27" s="10">
        <f>(E27+4*F27+G27)/6</f>
        <v/>
      </c>
      <c r="I27" s="11">
        <f>H27/8</f>
        <v/>
      </c>
      <c r="J27" s="20" t="inlineStr">
        <is>
          <t>High</t>
        </is>
      </c>
      <c r="K27" s="18" t="inlineStr">
        <is>
          <t>Batch Graph calls (≤20/req); throttle handling; idempotency; progress log</t>
        </is>
      </c>
    </row>
    <row r="28" ht="22" customHeight="1">
      <c r="A28" s="6" t="n">
        <v>19</v>
      </c>
      <c r="B28" s="7" t="inlineStr">
        <is>
          <t>User Migration</t>
        </is>
      </c>
      <c r="C28" s="7" t="inlineStr">
        <is>
          <t>Password Reset / Temp Password</t>
        </is>
      </c>
      <c r="D28" s="8" t="inlineStr">
        <is>
          <t>POST</t>
        </is>
      </c>
      <c r="E28" s="9" t="n">
        <v>2</v>
      </c>
      <c r="F28" s="9" t="n">
        <v>3</v>
      </c>
      <c r="G28" s="9" t="n">
        <v>5</v>
      </c>
      <c r="H28" s="10">
        <f>(E28+4*F28+G28)/6</f>
        <v/>
      </c>
      <c r="I28" s="11">
        <f>H28/8</f>
        <v/>
      </c>
      <c r="J28" s="12" t="inlineStr">
        <is>
          <t>Medium</t>
        </is>
      </c>
      <c r="K28" s="13" t="inlineStr">
        <is>
          <t>Assign temp password; force-reset flag in Entra; trigger welcome SMS/email</t>
        </is>
      </c>
    </row>
    <row r="29" ht="22" customHeight="1">
      <c r="A29" s="14" t="n">
        <v>20</v>
      </c>
      <c r="B29" s="15" t="inlineStr">
        <is>
          <t>User Migration</t>
        </is>
      </c>
      <c r="C29" s="15" t="inlineStr">
        <is>
          <t>Migration Error Handling &amp; Retry</t>
        </is>
      </c>
      <c r="D29" s="16" t="inlineStr">
        <is>
          <t>–</t>
        </is>
      </c>
      <c r="E29" s="17" t="n">
        <v>2</v>
      </c>
      <c r="F29" s="17" t="n">
        <v>4</v>
      </c>
      <c r="G29" s="17" t="n">
        <v>6</v>
      </c>
      <c r="H29" s="10">
        <f>(E29+4*F29+G29)/6</f>
        <v/>
      </c>
      <c r="I29" s="11">
        <f>H29/8</f>
        <v/>
      </c>
      <c r="J29" s="12" t="inlineStr">
        <is>
          <t>Medium</t>
        </is>
      </c>
      <c r="K29" s="18" t="inlineStr">
        <is>
          <t>Retry queue for failed records; partial success report; audit trail</t>
        </is>
      </c>
    </row>
    <row r="30" ht="22" customHeight="1">
      <c r="A30" s="5" t="inlineStr">
        <is>
          <t>6. AUTHENTICATION &amp; SECURITY</t>
        </is>
      </c>
    </row>
    <row r="31" ht="22" customHeight="1">
      <c r="A31" s="14" t="n">
        <v>21</v>
      </c>
      <c r="B31" s="15" t="inlineStr">
        <is>
          <t>Auth &amp; Security</t>
        </is>
      </c>
      <c r="C31" s="15" t="inlineStr">
        <is>
          <t>Login – Email + Password</t>
        </is>
      </c>
      <c r="D31" s="16" t="inlineStr">
        <is>
          <t>POST</t>
        </is>
      </c>
      <c r="E31" s="17" t="n">
        <v>2</v>
      </c>
      <c r="F31" s="17" t="n">
        <v>4</v>
      </c>
      <c r="G31" s="17" t="n">
        <v>6</v>
      </c>
      <c r="H31" s="10">
        <f>(E31+4*F31+G31)/6</f>
        <v/>
      </c>
      <c r="I31" s="11">
        <f>H31/8</f>
        <v/>
      </c>
      <c r="J31" s="12" t="inlineStr">
        <is>
          <t>Medium</t>
        </is>
      </c>
      <c r="K31" s="18" t="inlineStr">
        <is>
          <t>Verify credentials, issue JWT (access + refresh tokens), log event</t>
        </is>
      </c>
    </row>
    <row r="32" ht="22" customHeight="1">
      <c r="A32" s="6" t="n">
        <v>22</v>
      </c>
      <c r="B32" s="7" t="inlineStr">
        <is>
          <t>Auth &amp; Security</t>
        </is>
      </c>
      <c r="C32" s="7" t="inlineStr">
        <is>
          <t>Login – Mobile OTP</t>
        </is>
      </c>
      <c r="D32" s="8" t="inlineStr">
        <is>
          <t>POST</t>
        </is>
      </c>
      <c r="E32" s="9" t="n">
        <v>2</v>
      </c>
      <c r="F32" s="9" t="n">
        <v>3</v>
      </c>
      <c r="G32" s="9" t="n">
        <v>5</v>
      </c>
      <c r="H32" s="10">
        <f>(E32+4*F32+G32)/6</f>
        <v/>
      </c>
      <c r="I32" s="11">
        <f>H32/8</f>
        <v/>
      </c>
      <c r="J32" s="12" t="inlineStr">
        <is>
          <t>Medium</t>
        </is>
      </c>
      <c r="K32" s="13" t="inlineStr">
        <is>
          <t>Trigger Unifonic OTP; validate; issue JWT on success</t>
        </is>
      </c>
    </row>
    <row r="33" ht="22" customHeight="1">
      <c r="A33" s="14" t="n">
        <v>23</v>
      </c>
      <c r="B33" s="15" t="inlineStr">
        <is>
          <t>Auth &amp; Security</t>
        </is>
      </c>
      <c r="C33" s="15" t="inlineStr">
        <is>
          <t>Password Reset – Request OTP</t>
        </is>
      </c>
      <c r="D33" s="16" t="inlineStr">
        <is>
          <t>POST</t>
        </is>
      </c>
      <c r="E33" s="17" t="n">
        <v>1</v>
      </c>
      <c r="F33" s="17" t="n">
        <v>2</v>
      </c>
      <c r="G33" s="17" t="n">
        <v>4</v>
      </c>
      <c r="H33" s="10">
        <f>(E33+4*F33+G33)/6</f>
        <v/>
      </c>
      <c r="I33" s="11">
        <f>H33/8</f>
        <v/>
      </c>
      <c r="J33" s="19" t="inlineStr">
        <is>
          <t>Low</t>
        </is>
      </c>
      <c r="K33" s="18" t="inlineStr">
        <is>
          <t>Lookup account by email/mobile; trigger Unifonic reset OTP</t>
        </is>
      </c>
    </row>
    <row r="34" ht="22" customHeight="1">
      <c r="A34" s="6" t="n">
        <v>24</v>
      </c>
      <c r="B34" s="7" t="inlineStr">
        <is>
          <t>Auth &amp; Security</t>
        </is>
      </c>
      <c r="C34" s="7" t="inlineStr">
        <is>
          <t>Password Reset – Set New Password</t>
        </is>
      </c>
      <c r="D34" s="8" t="inlineStr">
        <is>
          <t>POST</t>
        </is>
      </c>
      <c r="E34" s="9" t="n">
        <v>2</v>
      </c>
      <c r="F34" s="9" t="n">
        <v>3</v>
      </c>
      <c r="G34" s="9" t="n">
        <v>5</v>
      </c>
      <c r="H34" s="10">
        <f>(E34+4*F34+G34)/6</f>
        <v/>
      </c>
      <c r="I34" s="11">
        <f>H34/8</f>
        <v/>
      </c>
      <c r="J34" s="12" t="inlineStr">
        <is>
          <t>Medium</t>
        </is>
      </c>
      <c r="K34" s="13" t="inlineStr">
        <is>
          <t>Validate OTP, enforce password policy, update in Entra + local DB</t>
        </is>
      </c>
    </row>
    <row r="35" ht="22" customHeight="1">
      <c r="A35" s="14" t="n">
        <v>25</v>
      </c>
      <c r="B35" s="15" t="inlineStr">
        <is>
          <t>Auth &amp; Security</t>
        </is>
      </c>
      <c r="C35" s="15" t="inlineStr">
        <is>
          <t>Token Refresh</t>
        </is>
      </c>
      <c r="D35" s="16" t="inlineStr">
        <is>
          <t>POST</t>
        </is>
      </c>
      <c r="E35" s="17" t="n">
        <v>1</v>
      </c>
      <c r="F35" s="17" t="n">
        <v>2</v>
      </c>
      <c r="G35" s="17" t="n">
        <v>3</v>
      </c>
      <c r="H35" s="10">
        <f>(E35+4*F35+G35)/6</f>
        <v/>
      </c>
      <c r="I35" s="11">
        <f>H35/8</f>
        <v/>
      </c>
      <c r="J35" s="19" t="inlineStr">
        <is>
          <t>Low</t>
        </is>
      </c>
      <c r="K35" s="18" t="inlineStr">
        <is>
          <t>Validate refresh token, rotate &amp; issue new pair, revoke old</t>
        </is>
      </c>
    </row>
    <row r="36" ht="22" customHeight="1">
      <c r="A36" s="6" t="n">
        <v>26</v>
      </c>
      <c r="B36" s="7" t="inlineStr">
        <is>
          <t>Auth &amp; Security</t>
        </is>
      </c>
      <c r="C36" s="7" t="inlineStr">
        <is>
          <t>Logout / Token Revocation</t>
        </is>
      </c>
      <c r="D36" s="8" t="inlineStr">
        <is>
          <t>POST</t>
        </is>
      </c>
      <c r="E36" s="9" t="n">
        <v>1</v>
      </c>
      <c r="F36" s="9" t="n">
        <v>2</v>
      </c>
      <c r="G36" s="9" t="n">
        <v>3</v>
      </c>
      <c r="H36" s="10">
        <f>(E36+4*F36+G36)/6</f>
        <v/>
      </c>
      <c r="I36" s="11">
        <f>H36/8</f>
        <v/>
      </c>
      <c r="J36" s="19" t="inlineStr">
        <is>
          <t>Low</t>
        </is>
      </c>
      <c r="K36" s="13" t="inlineStr">
        <is>
          <t>Blacklist token in Redis/DB; clear session state</t>
        </is>
      </c>
    </row>
    <row r="37" ht="22" customHeight="1">
      <c r="A37" s="14" t="n">
        <v>27</v>
      </c>
      <c r="B37" s="15" t="inlineStr">
        <is>
          <t>Auth &amp; Security</t>
        </is>
      </c>
      <c r="C37" s="15" t="inlineStr">
        <is>
          <t>JWT Middleware (FastAPI Dependency)</t>
        </is>
      </c>
      <c r="D37" s="16" t="inlineStr">
        <is>
          <t>–</t>
        </is>
      </c>
      <c r="E37" s="17" t="n">
        <v>2</v>
      </c>
      <c r="F37" s="17" t="n">
        <v>4</v>
      </c>
      <c r="G37" s="17" t="n">
        <v>6</v>
      </c>
      <c r="H37" s="10">
        <f>(E37+4*F37+G37)/6</f>
        <v/>
      </c>
      <c r="I37" s="11">
        <f>H37/8</f>
        <v/>
      </c>
      <c r="J37" s="12" t="inlineStr">
        <is>
          <t>Medium</t>
        </is>
      </c>
      <c r="K37" s="18" t="inlineStr">
        <is>
          <t>Decode &amp; verify JWT on every protected route; role/scope extraction</t>
        </is>
      </c>
    </row>
    <row r="38" ht="22" customHeight="1">
      <c r="A38" s="6" t="n">
        <v>28</v>
      </c>
      <c r="B38" s="7" t="inlineStr">
        <is>
          <t>Auth &amp; Security</t>
        </is>
      </c>
      <c r="C38" s="7" t="inlineStr">
        <is>
          <t>Error Handling &amp; Logging Infra</t>
        </is>
      </c>
      <c r="D38" s="8" t="inlineStr">
        <is>
          <t>–</t>
        </is>
      </c>
      <c r="E38" s="9" t="n">
        <v>2</v>
      </c>
      <c r="F38" s="9" t="n">
        <v>4</v>
      </c>
      <c r="G38" s="9" t="n">
        <v>6</v>
      </c>
      <c r="H38" s="10">
        <f>(E38+4*F38+G38)/6</f>
        <v/>
      </c>
      <c r="I38" s="11">
        <f>H38/8</f>
        <v/>
      </c>
      <c r="J38" s="12" t="inlineStr">
        <is>
          <t>Medium</t>
        </is>
      </c>
      <c r="K38" s="13" t="inlineStr">
        <is>
          <t>Structured logging (JSON), error codes, Sentry/CloudWatch hook, stack traces</t>
        </is>
      </c>
    </row>
    <row r="39" ht="22" customHeight="1">
      <c r="A39" s="5" t="inlineStr">
        <is>
          <t>7. CROSS-CUTTING &amp; INFRASTRUCTURE</t>
        </is>
      </c>
    </row>
    <row r="40" ht="22" customHeight="1">
      <c r="A40" s="6" t="n">
        <v>29</v>
      </c>
      <c r="B40" s="7" t="inlineStr">
        <is>
          <t>Infrastructure</t>
        </is>
      </c>
      <c r="C40" s="7" t="inlineStr">
        <is>
          <t>FastAPI Project Scaffold &amp; Config</t>
        </is>
      </c>
      <c r="D40" s="8" t="inlineStr">
        <is>
          <t>–</t>
        </is>
      </c>
      <c r="E40" s="9" t="n">
        <v>2</v>
      </c>
      <c r="F40" s="9" t="n">
        <v>4</v>
      </c>
      <c r="G40" s="9" t="n">
        <v>6</v>
      </c>
      <c r="H40" s="10">
        <f>(E40+4*F40+G40)/6</f>
        <v/>
      </c>
      <c r="I40" s="11">
        <f>H40/8</f>
        <v/>
      </c>
      <c r="J40" s="12" t="inlineStr">
        <is>
          <t>Medium</t>
        </is>
      </c>
      <c r="K40" s="13" t="inlineStr">
        <is>
          <t>Project structure, .env config, DB connection pool, CORS, docs (OpenAPI)</t>
        </is>
      </c>
    </row>
    <row r="41" ht="22" customHeight="1">
      <c r="A41" s="14" t="n">
        <v>30</v>
      </c>
      <c r="B41" s="15" t="inlineStr">
        <is>
          <t>Infrastructure</t>
        </is>
      </c>
      <c r="C41" s="15" t="inlineStr">
        <is>
          <t>Database Schema &amp; Migrations</t>
        </is>
      </c>
      <c r="D41" s="16" t="inlineStr">
        <is>
          <t>–</t>
        </is>
      </c>
      <c r="E41" s="17" t="n">
        <v>2</v>
      </c>
      <c r="F41" s="17" t="n">
        <v>4</v>
      </c>
      <c r="G41" s="17" t="n">
        <v>6</v>
      </c>
      <c r="H41" s="10">
        <f>(E41+4*F41+G41)/6</f>
        <v/>
      </c>
      <c r="I41" s="11">
        <f>H41/8</f>
        <v/>
      </c>
      <c r="J41" s="12" t="inlineStr">
        <is>
          <t>Medium</t>
        </is>
      </c>
      <c r="K41" s="18" t="inlineStr">
        <is>
          <t>SQLAlchemy models / Alembic migrations for users, OTP, audit tables</t>
        </is>
      </c>
    </row>
    <row r="42" ht="22" customHeight="1">
      <c r="A42" s="6" t="n">
        <v>31</v>
      </c>
      <c r="B42" s="7" t="inlineStr">
        <is>
          <t>Infrastructure</t>
        </is>
      </c>
      <c r="C42" s="7" t="inlineStr">
        <is>
          <t>Unit &amp; Integration Test Suite</t>
        </is>
      </c>
      <c r="D42" s="8" t="inlineStr">
        <is>
          <t>–</t>
        </is>
      </c>
      <c r="E42" s="9" t="n">
        <v>4</v>
      </c>
      <c r="F42" s="9" t="n">
        <v>8</v>
      </c>
      <c r="G42" s="9" t="n">
        <v>12</v>
      </c>
      <c r="H42" s="10">
        <f>(E42+4*F42+G42)/6</f>
        <v/>
      </c>
      <c r="I42" s="11">
        <f>H42/8</f>
        <v/>
      </c>
      <c r="J42" s="20" t="inlineStr">
        <is>
          <t>High</t>
        </is>
      </c>
      <c r="K42" s="13" t="inlineStr">
        <is>
          <t>pytest + httpx; mock Graph API &amp; Unifonic; ≥80% coverage target</t>
        </is>
      </c>
    </row>
    <row r="43" ht="22" customHeight="1">
      <c r="A43" s="14" t="n">
        <v>32</v>
      </c>
      <c r="B43" s="15" t="inlineStr">
        <is>
          <t>Infrastructure</t>
        </is>
      </c>
      <c r="C43" s="15" t="inlineStr">
        <is>
          <t>API Documentation (OpenAPI/Swagger)</t>
        </is>
      </c>
      <c r="D43" s="16" t="inlineStr">
        <is>
          <t>–</t>
        </is>
      </c>
      <c r="E43" s="17" t="n">
        <v>1</v>
      </c>
      <c r="F43" s="17" t="n">
        <v>2</v>
      </c>
      <c r="G43" s="17" t="n">
        <v>3</v>
      </c>
      <c r="H43" s="10">
        <f>(E43+4*F43+G43)/6</f>
        <v/>
      </c>
      <c r="I43" s="11">
        <f>H43/8</f>
        <v/>
      </c>
      <c r="J43" s="19" t="inlineStr">
        <is>
          <t>Low</t>
        </is>
      </c>
      <c r="K43" s="18" t="inlineStr">
        <is>
          <t>Auto-generated via FastAPI; manual descriptions for all endpoints</t>
        </is>
      </c>
    </row>
    <row r="44" ht="22" customHeight="1">
      <c r="A44" s="6" t="n">
        <v>33</v>
      </c>
      <c r="B44" s="7" t="inlineStr">
        <is>
          <t>Infrastructure</t>
        </is>
      </c>
      <c r="C44" s="7" t="inlineStr">
        <is>
          <t>Deployment Config (Docker / CI)</t>
        </is>
      </c>
      <c r="D44" s="8" t="inlineStr">
        <is>
          <t>–</t>
        </is>
      </c>
      <c r="E44" s="9" t="n">
        <v>2</v>
      </c>
      <c r="F44" s="9" t="n">
        <v>4</v>
      </c>
      <c r="G44" s="9" t="n">
        <v>6</v>
      </c>
      <c r="H44" s="10">
        <f>(E44+4*F44+G44)/6</f>
        <v/>
      </c>
      <c r="I44" s="11">
        <f>H44/8</f>
        <v/>
      </c>
      <c r="J44" s="12" t="inlineStr">
        <is>
          <t>Medium</t>
        </is>
      </c>
      <c r="K44" s="13" t="inlineStr">
        <is>
          <t>Dockerfile, docker-compose, GitHub Actions CI pipeline, env secrets</t>
        </is>
      </c>
    </row>
    <row r="45" ht="28" customHeight="1">
      <c r="A45" s="21" t="inlineStr">
        <is>
          <t>TOTAL  (33 APIs / Tasks)</t>
        </is>
      </c>
      <c r="E45" s="22">
        <f>E6+E7+E8+E9+E11+E12+E13+E14+E16+E17+E18+E19+E20+E22+E23+E25+E26+E27+E28+E29+E31+E32+E33+E34+E35+E36+E37+E38+E40+E41+E42+E43+E44</f>
        <v/>
      </c>
      <c r="F45" s="22">
        <f>F6+F7+F8+F9+F11+F12+F13+F14+F16+F17+F18+F19+F20+F22+F23+F25+F26+F27+F28+F29+F31+F32+F33+F34+F35+F36+F37+F38+F40+F41+F42+F43+F44</f>
        <v/>
      </c>
      <c r="G45" s="22">
        <f>G6+G7+G8+G9+G11+G12+G13+G14+G16+G17+G18+G19+G20+G22+G23+G25+G26+G27+G28+G29+G31+G32+G33+G34+G35+G36+G37+G38+G40+G41+G42+G43+G44</f>
        <v/>
      </c>
      <c r="H45" s="22">
        <f>H6+H7+H8+H9+H11+H12+H13+H14+H16+H17+H18+H19+H20+H22+H23+H25+H26+H27+H28+H29+H31+H32+H33+H34+H35+H36+H37+H38+H40+H41+H42+H43+H44</f>
        <v/>
      </c>
      <c r="I45" s="22">
        <f>I6+I7+I8+I9+I11+I12+I13+I14+I16+I17+I18+I19+I20+I22+I23+I25+I26+I27+I28+I29+I31+I32+I33+I34+I35+I36+I37+I38+I40+I41+I42+I43+I44</f>
        <v/>
      </c>
      <c r="J45" s="23" t="inlineStr"/>
      <c r="K45" s="24" t="inlineStr">
        <is>
          <t>See Summary sheet for phase breakdown</t>
        </is>
      </c>
    </row>
  </sheetData>
  <mergeCells count="11">
    <mergeCell ref="A45:D45"/>
    <mergeCell ref="A3:K3"/>
    <mergeCell ref="A21:K21"/>
    <mergeCell ref="A30:K30"/>
    <mergeCell ref="A39:K39"/>
    <mergeCell ref="A15:K15"/>
    <mergeCell ref="A24:K24"/>
    <mergeCell ref="A2:K2"/>
    <mergeCell ref="A10:K10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 ht="36" customHeight="1">
      <c r="A1" s="1" t="inlineStr">
        <is>
          <t>Project Summary &amp; Effort Breakdown</t>
        </is>
      </c>
    </row>
    <row r="2" ht="20" customHeight="1">
      <c r="A2" s="2" t="inlineStr">
        <is>
          <t>Estimates use PERT method (3-point): Best / Likely / Worst  ·  1 day = 8 hrs  ·  1 sprint = 10 days</t>
        </is>
      </c>
    </row>
    <row r="4" ht="28" customHeight="1">
      <c r="A4" s="4" t="inlineStr">
        <is>
          <t>#</t>
        </is>
      </c>
      <c r="B4" s="4" t="inlineStr">
        <is>
          <t>Module / Phase</t>
        </is>
      </c>
      <c r="C4" s="4" t="inlineStr">
        <is>
          <t>APIs
Count</t>
        </is>
      </c>
      <c r="D4" s="4" t="inlineStr">
        <is>
          <t>Est Hours
(PERT)</t>
        </is>
      </c>
      <c r="E4" s="4" t="inlineStr">
        <is>
          <t>Days
(÷8)</t>
        </is>
      </c>
      <c r="F4" s="4" t="inlineStr">
        <is>
          <t>Sprints
(÷10)</t>
        </is>
      </c>
      <c r="G4" s="4" t="inlineStr">
        <is>
          <t>Key Deliverables</t>
        </is>
      </c>
    </row>
    <row r="5" ht="22" customHeight="1">
      <c r="A5" s="14" t="n">
        <v>1</v>
      </c>
      <c r="B5" s="15" t="inlineStr">
        <is>
          <t>User Registration APIs</t>
        </is>
      </c>
      <c r="C5" s="25" t="n">
        <v>4</v>
      </c>
      <c r="D5" s="17" t="n">
        <v>44</v>
      </c>
      <c r="E5" s="11">
        <f>D5/8</f>
        <v/>
      </c>
      <c r="F5" s="10">
        <f>E5/10</f>
        <v/>
      </c>
      <c r="G5" s="18" t="inlineStr">
        <is>
          <t>Register (Email+Mobile), OTP verify, Resend OTP</t>
        </is>
      </c>
    </row>
    <row r="6" ht="22" customHeight="1">
      <c r="A6" s="6" t="n">
        <v>2</v>
      </c>
      <c r="B6" s="7" t="inlineStr">
        <is>
          <t>Unifonic SMS Integration</t>
        </is>
      </c>
      <c r="C6" s="26" t="n">
        <v>4</v>
      </c>
      <c r="D6" s="9" t="n">
        <v>44</v>
      </c>
      <c r="E6" s="11">
        <f>D6/8</f>
        <v/>
      </c>
      <c r="F6" s="10">
        <f>E6/10</f>
        <v/>
      </c>
      <c r="G6" s="13" t="inlineStr">
        <is>
          <t>OTP send wrappers, validation, expiry management</t>
        </is>
      </c>
    </row>
    <row r="7" ht="22" customHeight="1">
      <c r="A7" s="14" t="n">
        <v>3</v>
      </c>
      <c r="B7" s="15" t="inlineStr">
        <is>
          <t>Microsoft Graph API Integration</t>
        </is>
      </c>
      <c r="C7" s="25" t="n">
        <v>5</v>
      </c>
      <c r="D7" s="17" t="n">
        <v>72</v>
      </c>
      <c r="E7" s="11">
        <f>D7/8</f>
        <v/>
      </c>
      <c r="F7" s="10">
        <f>E7/10</f>
        <v/>
      </c>
      <c r="G7" s="18" t="inlineStr">
        <is>
          <t>User CRUD in Entra, custom attributes, auth module</t>
        </is>
      </c>
    </row>
    <row r="8" ht="22" customHeight="1">
      <c r="A8" s="6" t="n">
        <v>4</v>
      </c>
      <c r="B8" s="7" t="inlineStr">
        <is>
          <t>Profile Management APIs</t>
        </is>
      </c>
      <c r="C8" s="26" t="n">
        <v>2</v>
      </c>
      <c r="D8" s="9" t="n">
        <v>22</v>
      </c>
      <c r="E8" s="11">
        <f>D8/8</f>
        <v/>
      </c>
      <c r="F8" s="10">
        <f>E8/10</f>
        <v/>
      </c>
      <c r="G8" s="13" t="inlineStr">
        <is>
          <t>View + Update profile, Entra sync</t>
        </is>
      </c>
    </row>
    <row r="9" ht="22" customHeight="1">
      <c r="A9" s="14" t="n">
        <v>5</v>
      </c>
      <c r="B9" s="15" t="inlineStr">
        <is>
          <t>User Migration</t>
        </is>
      </c>
      <c r="C9" s="25" t="n">
        <v>5</v>
      </c>
      <c r="D9" s="17" t="n">
        <v>76</v>
      </c>
      <c r="E9" s="11">
        <f>D9/8</f>
        <v/>
      </c>
      <c r="F9" s="10">
        <f>E9/10</f>
        <v/>
      </c>
      <c r="G9" s="18" t="inlineStr">
        <is>
          <t>CSV ingest, transform, bulk create, password reset</t>
        </is>
      </c>
    </row>
    <row r="10" ht="22" customHeight="1">
      <c r="A10" s="6" t="n">
        <v>6</v>
      </c>
      <c r="B10" s="7" t="inlineStr">
        <is>
          <t>Authentication &amp; Security</t>
        </is>
      </c>
      <c r="C10" s="26" t="n">
        <v>8</v>
      </c>
      <c r="D10" s="9" t="n">
        <v>82</v>
      </c>
      <c r="E10" s="11">
        <f>D10/8</f>
        <v/>
      </c>
      <c r="F10" s="10">
        <f>E10/10</f>
        <v/>
      </c>
      <c r="G10" s="13" t="inlineStr">
        <is>
          <t>Login flows, JWT, OTP reset, middleware, logging</t>
        </is>
      </c>
    </row>
    <row r="11" ht="22" customHeight="1">
      <c r="A11" s="14" t="n">
        <v>7</v>
      </c>
      <c r="B11" s="15" t="inlineStr">
        <is>
          <t>Cross-cutting &amp; Infrastructure</t>
        </is>
      </c>
      <c r="C11" s="25" t="n">
        <v>5</v>
      </c>
      <c r="D11" s="17" t="n">
        <v>66</v>
      </c>
      <c r="E11" s="11">
        <f>D11/8</f>
        <v/>
      </c>
      <c r="F11" s="10">
        <f>E11/10</f>
        <v/>
      </c>
      <c r="G11" s="18" t="inlineStr">
        <is>
          <t>Scaffold, DB schema, tests, docs, Docker/CI</t>
        </is>
      </c>
    </row>
    <row r="12" ht="28" customHeight="1">
      <c r="A12" s="21" t="inlineStr">
        <is>
          <t>GRAND TOTAL  (33 APIs / Tasks)</t>
        </is>
      </c>
      <c r="C12" s="22">
        <f>C5+C6+C7+C8+C9+C10+C11</f>
        <v/>
      </c>
      <c r="D12" s="22">
        <f>D5+D6+D7+D8+D9+D10+D11</f>
        <v/>
      </c>
      <c r="E12" s="22">
        <f>E5+E6+E7+E8+E9+E10+E11</f>
        <v/>
      </c>
      <c r="F12" s="22">
        <f>F5+F6+F7+F8+F9+F10+F11</f>
        <v/>
      </c>
      <c r="G12" s="23" t="n"/>
    </row>
    <row r="14" ht="26" customHeight="1">
      <c r="A14" s="27" t="inlineStr">
        <is>
          <t>DELIVERY ASSUMPTIONS &amp; TIMELINE PARAMETERS</t>
        </is>
      </c>
    </row>
    <row r="15" ht="20" customHeight="1">
      <c r="A15" s="28" t="n"/>
      <c r="B15" s="6" t="n"/>
      <c r="C15" s="13" t="n"/>
    </row>
    <row r="16" ht="20" customHeight="1">
      <c r="A16" s="29" t="n"/>
      <c r="B16" s="14" t="n"/>
      <c r="C16" s="18" t="n"/>
    </row>
    <row r="17" ht="20" customHeight="1">
      <c r="A17" s="28" t="n"/>
      <c r="B17" s="6" t="n"/>
      <c r="C17" s="13" t="n"/>
    </row>
    <row r="18" ht="20" customHeight="1">
      <c r="A18" s="29" t="n"/>
      <c r="B18" s="14" t="n"/>
      <c r="C18" s="18" t="n"/>
    </row>
    <row r="19" ht="20" customHeight="1">
      <c r="A19" s="28" t="n"/>
      <c r="B19" s="6" t="n"/>
      <c r="C19" s="13" t="n"/>
    </row>
    <row r="20" ht="20" customHeight="1">
      <c r="A20" s="29" t="n"/>
      <c r="B20" s="14" t="n"/>
      <c r="C20" s="18" t="n"/>
    </row>
    <row r="21" ht="20" customHeight="1">
      <c r="A21" s="28" t="n"/>
      <c r="B21" s="6" t="n"/>
      <c r="C21" s="13" t="n"/>
    </row>
    <row r="22" ht="20" customHeight="1">
      <c r="A22" s="29" t="n"/>
      <c r="B22" s="14" t="n"/>
      <c r="C22" s="18" t="n"/>
    </row>
    <row r="23" ht="20" customHeight="1">
      <c r="A23" s="28" t="n"/>
      <c r="B23" s="6" t="n"/>
      <c r="C23" s="13" t="n"/>
    </row>
    <row r="25" ht="26" customHeight="1">
      <c r="A25" s="30" t="inlineStr">
        <is>
          <t>COMPLEXITY &amp; RISK LEGEND</t>
        </is>
      </c>
    </row>
    <row r="26" ht="20" customHeight="1">
      <c r="A26" s="19" t="inlineStr">
        <is>
          <t>Low</t>
        </is>
      </c>
      <c r="B26" s="31" t="n"/>
      <c r="C26" s="32" t="inlineStr">
        <is>
          <t>Simple CRUD, single service call, minimal validation</t>
        </is>
      </c>
      <c r="D26" s="31" t="n"/>
      <c r="E26" s="31" t="n"/>
      <c r="F26" s="31" t="n"/>
      <c r="G26" s="31" t="n"/>
    </row>
    <row r="27" ht="20" customHeight="1">
      <c r="A27" s="12" t="inlineStr">
        <is>
          <t>Medium</t>
        </is>
      </c>
      <c r="B27" s="33" t="n"/>
      <c r="C27" s="34" t="inlineStr">
        <is>
          <t>2+ service dependencies, async, validation logic</t>
        </is>
      </c>
      <c r="D27" s="33" t="n"/>
      <c r="E27" s="33" t="n"/>
      <c r="F27" s="33" t="n"/>
      <c r="G27" s="33" t="n"/>
    </row>
    <row r="28" ht="20" customHeight="1">
      <c r="A28" s="20" t="inlineStr">
        <is>
          <t>High</t>
        </is>
      </c>
      <c r="B28" s="35" t="n"/>
      <c r="C28" s="36" t="inlineStr">
        <is>
          <t>External API + auth flow, batch processing, migrations, test coverage required</t>
        </is>
      </c>
      <c r="D28" s="35" t="n"/>
      <c r="E28" s="35" t="n"/>
      <c r="F28" s="35" t="n"/>
      <c r="G28" s="35" t="n"/>
    </row>
  </sheetData>
  <mergeCells count="38">
    <mergeCell ref="A14:G14"/>
    <mergeCell ref="A15:B15"/>
    <mergeCell ref="E19:G19"/>
    <mergeCell ref="C15:D15"/>
    <mergeCell ref="E15:G15"/>
    <mergeCell ref="C26:G26"/>
    <mergeCell ref="C20:D20"/>
    <mergeCell ref="A16:B16"/>
    <mergeCell ref="C16:D16"/>
    <mergeCell ref="C22:D22"/>
    <mergeCell ref="A18:B18"/>
    <mergeCell ref="A27:B27"/>
    <mergeCell ref="E16:G16"/>
    <mergeCell ref="A12:B12"/>
    <mergeCell ref="A26:B26"/>
    <mergeCell ref="A21:B21"/>
    <mergeCell ref="A1:G1"/>
    <mergeCell ref="C21:D21"/>
    <mergeCell ref="E22:G22"/>
    <mergeCell ref="C27:G27"/>
    <mergeCell ref="E18:G18"/>
    <mergeCell ref="A17:B17"/>
    <mergeCell ref="E21:G21"/>
    <mergeCell ref="A23:B23"/>
    <mergeCell ref="C17:D17"/>
    <mergeCell ref="C23:D23"/>
    <mergeCell ref="A25:G25"/>
    <mergeCell ref="A22:B22"/>
    <mergeCell ref="A20:B20"/>
    <mergeCell ref="A19:B19"/>
    <mergeCell ref="E23:G23"/>
    <mergeCell ref="C19:D19"/>
    <mergeCell ref="A28:B28"/>
    <mergeCell ref="C28:G28"/>
    <mergeCell ref="E17:G17"/>
    <mergeCell ref="A2:G2"/>
    <mergeCell ref="C18:D18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2026-06-10T14:34:04Z</dcterms:created>
  <dcterms:modified xsi:type="dcterms:W3CDTF">2026-06-10T14:34:04Z</dcterms:modified>
</cp:coreProperties>
</file>